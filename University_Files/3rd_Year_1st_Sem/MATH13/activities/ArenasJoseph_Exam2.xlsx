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to\OneDrive\Documents\Logos_Database\University_Files\3rd_Year_1st_Sem\MATH13\activities\"/>
    </mc:Choice>
  </mc:AlternateContent>
  <xr:revisionPtr revIDLastSave="0" documentId="13_ncr:1_{D96F7702-CA75-465D-8547-CA9A1EFEB6E7}" xr6:coauthVersionLast="47" xr6:coauthVersionMax="47" xr10:uidLastSave="{00000000-0000-0000-0000-000000000000}"/>
  <bookViews>
    <workbookView xWindow="-105" yWindow="0" windowWidth="12210" windowHeight="13605" xr2:uid="{43B6E668-BDBF-4945-B1C9-EB2A35D21FAD}"/>
  </bookViews>
  <sheets>
    <sheet name="Data, Instructions, Points" sheetId="2" r:id="rId1"/>
  </sheets>
  <definedNames>
    <definedName name="_xlchart.v1.0" hidden="1">'Data, Instructions, Points'!$H$2</definedName>
    <definedName name="_xlchart.v1.1" hidden="1">'Data, Instructions, Points'!$H$3:$H$52</definedName>
    <definedName name="_xlchart.v1.2" hidden="1">'Data, Instructions, Points'!$H$2</definedName>
    <definedName name="_xlchart.v1.3" hidden="1">'Data, Instructions, Points'!$H$3:$H$52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2" l="1"/>
  <c r="C56" i="2"/>
  <c r="G26" i="2"/>
</calcChain>
</file>

<file path=xl/sharedStrings.xml><?xml version="1.0" encoding="utf-8"?>
<sst xmlns="http://schemas.openxmlformats.org/spreadsheetml/2006/main" count="139" uniqueCount="75">
  <si>
    <t>Daily Fare</t>
  </si>
  <si>
    <t>F</t>
  </si>
  <si>
    <t>Gender</t>
  </si>
  <si>
    <t>M</t>
  </si>
  <si>
    <t>&gt;F</t>
  </si>
  <si>
    <t>&lt;F</t>
  </si>
  <si>
    <t>30 + last digit of your ID #</t>
  </si>
  <si>
    <t>90 + last digit of your ID #</t>
  </si>
  <si>
    <t>Frequency distribution table for Gender</t>
  </si>
  <si>
    <t>Expanded frequency distirbuion table for Daily Fare</t>
  </si>
  <si>
    <t>Pie chart for Gender</t>
  </si>
  <si>
    <t>Column Graph fo Daily Fare</t>
  </si>
  <si>
    <t>Frequency</t>
  </si>
  <si>
    <t>Class mark</t>
  </si>
  <si>
    <t>Relative frequency</t>
  </si>
  <si>
    <t>Histogram for Daily Fare</t>
  </si>
  <si>
    <t>70 + last digit of your ID #</t>
  </si>
  <si>
    <t>50 + last digit of your ID #</t>
  </si>
  <si>
    <t>10 + last digit of your ID #</t>
  </si>
  <si>
    <t>Intrepretations for 3rd class interval</t>
  </si>
  <si>
    <t>Intrepretations for 5th class interval</t>
  </si>
  <si>
    <t>Instructions</t>
  </si>
  <si>
    <t>1) Input your sex and peso value required per cell</t>
  </si>
  <si>
    <t>2) Print the following on landscape long bond paper with</t>
  </si>
  <si>
    <t xml:space="preserve">     a) NAME</t>
  </si>
  <si>
    <t xml:space="preserve">     b) COURSE/SECTION</t>
  </si>
  <si>
    <t xml:space="preserve">     c) STUDENT ID NUMBER</t>
  </si>
  <si>
    <t>a.</t>
  </si>
  <si>
    <t>b.</t>
  </si>
  <si>
    <t>c.</t>
  </si>
  <si>
    <t>d.</t>
  </si>
  <si>
    <t>e.</t>
  </si>
  <si>
    <t>d)</t>
  </si>
  <si>
    <t>SEX</t>
  </si>
  <si>
    <t>*</t>
  </si>
  <si>
    <t>Submitted on time</t>
  </si>
  <si>
    <t>Submitted presentable output</t>
  </si>
  <si>
    <t>Points</t>
  </si>
  <si>
    <t>in pesos</t>
  </si>
  <si>
    <t>f</t>
  </si>
  <si>
    <t>Total</t>
  </si>
  <si>
    <t>Limits</t>
  </si>
  <si>
    <t>14-26</t>
  </si>
  <si>
    <t>27-39</t>
  </si>
  <si>
    <t>40-52</t>
  </si>
  <si>
    <t>53-65</t>
  </si>
  <si>
    <t>66-78</t>
  </si>
  <si>
    <t>79-91</t>
  </si>
  <si>
    <t>92-104</t>
  </si>
  <si>
    <t>Class Boundaries</t>
  </si>
  <si>
    <t>Class Mark</t>
  </si>
  <si>
    <t>Relative Frequency</t>
  </si>
  <si>
    <t>Less-than Cumulative
Frequency</t>
  </si>
  <si>
    <t>Greater-than Cumulative Frequency</t>
  </si>
  <si>
    <t>Male</t>
  </si>
  <si>
    <t>Female</t>
  </si>
  <si>
    <t>Daily Fare in Pesos</t>
  </si>
  <si>
    <t xml:space="preserve">a. </t>
  </si>
  <si>
    <t>13.5-26.5</t>
  </si>
  <si>
    <t>26.5-39.5</t>
  </si>
  <si>
    <t>39.5-52.5</t>
  </si>
  <si>
    <t>52.5-65.5</t>
  </si>
  <si>
    <t>65.5-78.5</t>
  </si>
  <si>
    <t>78.5-91.5</t>
  </si>
  <si>
    <t>91.5-104.5</t>
  </si>
  <si>
    <t>c. 12% of the male and female respondents fall within the daily wage of 40 to 52 pesos.</t>
  </si>
  <si>
    <t>b. The average daily fare in pesos that falls within the 3rd class interval is 46.</t>
  </si>
  <si>
    <t>a. A total of six individuals from both the male and female demographic fall within the daily fare range of 40 to 52 pesos.</t>
  </si>
  <si>
    <t xml:space="preserve">d. 20 people pay less than 52 pesos for their daily fare </t>
  </si>
  <si>
    <t>e. 36 people pay more than 56 pesos for their daily fare.</t>
  </si>
  <si>
    <t>a. A total of five individuals from both the male and female demographic fall within the daily fare range of 40 to 52 pesos.</t>
  </si>
  <si>
    <t>b. The average daily fare in pesos that falls within the 5th class interval is 66 to 78 pesos.</t>
  </si>
  <si>
    <t>c. 10% of the male and female respondents fall within the daily wage of 66 to 78 pesos.</t>
  </si>
  <si>
    <t xml:space="preserve">d. 31 people pay less than 66-78 pesos for their daily fare </t>
  </si>
  <si>
    <t>e. 24 people pay more than 66-78 pesos for their daily fare.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</si>
</sst>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Display"/>
      <family val="2"/>
      <scheme val="major"/>
    </font>
    <font>
      <b/>
      <sz val="14"/>
      <color rgb="FF0000CC"/>
      <name val="Aptos Narrow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center"/>
    </xf>
    <xf numFmtId="0" fontId="7" fillId="0" borderId="0" xfId="0" applyFont="1"/>
    <xf numFmtId="0" fontId="5" fillId="0" borderId="3" xfId="0" applyFont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5" fillId="0" borderId="0" xfId="0" applyFont="1" applyAlignment="1">
      <alignment horizontal="center"/>
    </xf>
    <xf numFmtId="9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Genders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'Data, Instructions, Points'!$B$56:$B$57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'Data, Instructions, Points'!$C$56:$C$57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0-4F1A-A4B6-8650EF16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 Graph Daily Fare in Pesos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'Data, Instructions, Points'!$I$2</c:f>
              <c:strCache>
                <c:ptCount val="1"/>
                <c:pt idx="0">
                  <c:v>in pesos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'Data, Instructions, Points'!$I$3:$I$52</c:f>
              <c:numCache>
                <c:formatCode>General</c:formatCode>
                <c:ptCount val="50"/>
                <c:pt idx="0">
                  <c:v>94</c:v>
                </c:pt>
                <c:pt idx="1">
                  <c:v>74</c:v>
                </c:pt>
                <c:pt idx="2">
                  <c:v>54</c:v>
                </c:pt>
                <c:pt idx="3">
                  <c:v>34</c:v>
                </c:pt>
                <c:pt idx="4">
                  <c:v>14</c:v>
                </c:pt>
                <c:pt idx="5">
                  <c:v>60</c:v>
                </c:pt>
                <c:pt idx="6">
                  <c:v>44</c:v>
                </c:pt>
                <c:pt idx="7">
                  <c:v>22</c:v>
                </c:pt>
                <c:pt idx="8">
                  <c:v>100</c:v>
                </c:pt>
                <c:pt idx="9">
                  <c:v>88</c:v>
                </c:pt>
                <c:pt idx="10">
                  <c:v>22</c:v>
                </c:pt>
                <c:pt idx="11">
                  <c:v>20</c:v>
                </c:pt>
                <c:pt idx="12">
                  <c:v>32</c:v>
                </c:pt>
                <c:pt idx="13">
                  <c:v>38</c:v>
                </c:pt>
                <c:pt idx="14">
                  <c:v>20</c:v>
                </c:pt>
                <c:pt idx="15">
                  <c:v>44</c:v>
                </c:pt>
                <c:pt idx="16">
                  <c:v>44</c:v>
                </c:pt>
                <c:pt idx="17">
                  <c:v>46</c:v>
                </c:pt>
                <c:pt idx="18">
                  <c:v>50</c:v>
                </c:pt>
                <c:pt idx="19">
                  <c:v>58</c:v>
                </c:pt>
                <c:pt idx="20">
                  <c:v>58</c:v>
                </c:pt>
                <c:pt idx="21">
                  <c:v>60</c:v>
                </c:pt>
                <c:pt idx="22">
                  <c:v>22</c:v>
                </c:pt>
                <c:pt idx="23">
                  <c:v>66</c:v>
                </c:pt>
                <c:pt idx="24">
                  <c:v>70</c:v>
                </c:pt>
                <c:pt idx="25">
                  <c:v>72</c:v>
                </c:pt>
                <c:pt idx="26">
                  <c:v>76</c:v>
                </c:pt>
                <c:pt idx="27">
                  <c:v>84</c:v>
                </c:pt>
                <c:pt idx="28">
                  <c:v>86</c:v>
                </c:pt>
                <c:pt idx="29">
                  <c:v>86</c:v>
                </c:pt>
                <c:pt idx="30">
                  <c:v>88</c:v>
                </c:pt>
                <c:pt idx="31">
                  <c:v>22</c:v>
                </c:pt>
                <c:pt idx="32">
                  <c:v>88</c:v>
                </c:pt>
                <c:pt idx="33">
                  <c:v>90</c:v>
                </c:pt>
                <c:pt idx="34">
                  <c:v>90</c:v>
                </c:pt>
                <c:pt idx="35">
                  <c:v>28</c:v>
                </c:pt>
                <c:pt idx="36">
                  <c:v>92</c:v>
                </c:pt>
                <c:pt idx="37">
                  <c:v>38</c:v>
                </c:pt>
                <c:pt idx="38">
                  <c:v>94</c:v>
                </c:pt>
                <c:pt idx="39">
                  <c:v>100</c:v>
                </c:pt>
                <c:pt idx="40">
                  <c:v>96</c:v>
                </c:pt>
                <c:pt idx="41">
                  <c:v>98</c:v>
                </c:pt>
                <c:pt idx="42">
                  <c:v>20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44</c:v>
                </c:pt>
                <c:pt idx="47">
                  <c:v>60</c:v>
                </c:pt>
                <c:pt idx="48">
                  <c:v>22</c:v>
                </c:pt>
                <c:pt idx="4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A-49EC-879F-EBD683C5D7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992752"/>
        <c:axId val="159007152"/>
      </c:barChart>
      <c:catAx>
        <c:axId val="15899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7152"/>
        <c:crosses val="autoZero"/>
        <c:auto val="1"/>
        <c:lblAlgn val="ctr"/>
        <c:lblOffset val="100"/>
        <c:noMultiLvlLbl val="0"/>
      </c:catAx>
      <c:valAx>
        <c:axId val="15900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Fare in Pesos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Fare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Daily Fare Histogram</a:t>
          </a:r>
        </a:p>
      </cx:txPr>
    </cx:title>
    <cx:plotArea>
      <cx:plotAreaRegion>
        <cx:series layoutId="clusteredColumn" uniqueId="{AAF78196-8D03-4383-B0B7-DFA6C348B133}">
          <cx:tx>
            <cx:txData>
              <cx:f>_xlchart.v1.0</cx:f>
              <cx:v>Daily Fare in Pesos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tle>
          <cx:tx>
            <cx:txData>
              <cx:v>Daily Fare Class Intervals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Daily Fare Class Intervals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490818</xdr:colOff>
      <xdr:row>53</xdr:row>
      <xdr:rowOff>38100</xdr:rowOff>
    </xdr:from>
    <xdr:to>
      <xdr:col>5</xdr:col>
      <xdr:colOff>166968</xdr:colOff>
      <xdr:row>66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7AE69-2DFD-F6B1-F91E-5CAB2C2D2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293914</xdr:colOff>
      <xdr:row>53</xdr:row>
      <xdr:rowOff>127907</xdr:rowOff>
    </xdr:from>
    <xdr:to>
      <xdr:col>7</xdr:col>
      <xdr:colOff>351692</xdr:colOff>
      <xdr:row>66</xdr:row>
      <xdr:rowOff>149678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B254B81-C40A-397B-42B7-212306A422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0029" y="12796157"/>
              <a:ext cx="5530990" cy="2791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1557618</xdr:colOff>
      <xdr:row>67</xdr:row>
      <xdr:rowOff>51548</xdr:rowOff>
    </xdr:from>
    <xdr:to>
      <xdr:col>7</xdr:col>
      <xdr:colOff>437029</xdr:colOff>
      <xdr:row>81</xdr:row>
      <xdr:rowOff>127748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AEF978-48C6-D7A9-0FA8-59B678468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812F-66F7-416F-8A60-D5B2AF6F6FE3}">
  <dimension ref="A1:V61"/>
  <sheetViews>
    <sheetView tabSelected="1" topLeftCell="H1" zoomScale="85" zoomScaleNormal="85" workbookViewId="0">
      <selection activeCell="K23" sqref="K23"/>
    </sheetView>
  </sheetViews>
  <sheetFormatPr defaultRowHeight="15" x14ac:dyDescent="0.25"/>
  <cols>
    <col min="1" max="1" width="6.28515625" customWidth="1"/>
    <col min="2" max="2" width="11.85546875" bestFit="1" customWidth="1"/>
    <col min="3" max="3" width="16" bestFit="1" customWidth="1"/>
    <col min="4" max="4" width="66.7109375" bestFit="1" customWidth="1"/>
    <col min="5" max="5" width="6.7109375" customWidth="1"/>
    <col min="6" max="6" width="67.42578125" customWidth="1"/>
    <col min="7" max="7" width="7.85546875" bestFit="1" customWidth="1"/>
    <col min="8" max="8" width="19.28515625" customWidth="1"/>
    <col min="9" max="9" width="13.5703125" customWidth="1"/>
    <col min="10" max="10" width="8.7109375" bestFit="1" customWidth="1"/>
    <col min="11" max="11" width="10.85546875" customWidth="1"/>
    <col min="12" max="12" width="22" customWidth="1"/>
    <col min="13" max="13" width="19.28515625" customWidth="1"/>
    <col min="14" max="14" width="23.42578125" customWidth="1"/>
    <col min="15" max="15" width="29" customWidth="1"/>
    <col min="16" max="16" width="31.7109375" customWidth="1"/>
  </cols>
  <sheetData>
    <row r="1" spans="1:22" ht="35.25" customHeight="1" x14ac:dyDescent="0.35">
      <c r="B1" s="3" t="s">
        <v>2</v>
      </c>
      <c r="C1" s="3" t="s">
        <v>0</v>
      </c>
      <c r="D1" s="24" t="s">
        <v>21</v>
      </c>
      <c r="E1" s="25"/>
      <c r="F1" s="25"/>
      <c r="G1" s="16" t="s">
        <v>37</v>
      </c>
      <c r="I1" s="3" t="s">
        <v>0</v>
      </c>
      <c r="J1" s="5" t="s">
        <v>41</v>
      </c>
      <c r="K1" s="5" t="s">
        <v>39</v>
      </c>
      <c r="L1" s="4" t="s">
        <v>49</v>
      </c>
      <c r="M1" s="4" t="s">
        <v>50</v>
      </c>
      <c r="N1" s="4" t="s">
        <v>51</v>
      </c>
      <c r="O1" s="28" t="s">
        <v>52</v>
      </c>
      <c r="P1" s="28" t="s">
        <v>53</v>
      </c>
      <c r="Q1" s="4"/>
      <c r="R1" s="4"/>
      <c r="S1" s="4"/>
      <c r="T1" s="4"/>
      <c r="U1" s="4"/>
      <c r="V1" s="4"/>
    </row>
    <row r="2" spans="1:22" ht="18.75" x14ac:dyDescent="0.3">
      <c r="B2" s="2"/>
      <c r="C2" s="7" t="s">
        <v>38</v>
      </c>
      <c r="D2" s="17" t="s">
        <v>22</v>
      </c>
      <c r="E2" s="18" t="s">
        <v>23</v>
      </c>
      <c r="F2" s="19"/>
      <c r="G2" s="11">
        <v>4</v>
      </c>
      <c r="H2" t="s">
        <v>56</v>
      </c>
      <c r="I2" s="7" t="s">
        <v>38</v>
      </c>
      <c r="J2" s="5" t="s">
        <v>42</v>
      </c>
      <c r="K2" s="5">
        <v>9</v>
      </c>
      <c r="L2" s="4" t="s">
        <v>58</v>
      </c>
      <c r="M2" s="4">
        <v>20</v>
      </c>
      <c r="N2" s="27">
        <v>0.18</v>
      </c>
      <c r="O2" s="4">
        <v>9</v>
      </c>
      <c r="P2" s="4">
        <v>50</v>
      </c>
      <c r="Q2" s="4"/>
      <c r="R2" s="4"/>
      <c r="S2" s="4"/>
      <c r="T2" s="4"/>
      <c r="U2" s="4"/>
      <c r="V2" s="4"/>
    </row>
    <row r="3" spans="1:22" ht="18.75" x14ac:dyDescent="0.3">
      <c r="A3" s="4">
        <v>1</v>
      </c>
      <c r="B3" s="9" t="s">
        <v>3</v>
      </c>
      <c r="C3" s="9">
        <v>94</v>
      </c>
      <c r="D3" s="10" t="s">
        <v>7</v>
      </c>
      <c r="E3" s="20" t="s">
        <v>24</v>
      </c>
      <c r="F3" s="21"/>
      <c r="G3" s="11">
        <v>2</v>
      </c>
      <c r="H3" s="8">
        <v>14</v>
      </c>
      <c r="I3" s="9">
        <v>94</v>
      </c>
      <c r="J3" t="s">
        <v>43</v>
      </c>
      <c r="K3">
        <v>5</v>
      </c>
      <c r="L3" s="4" t="s">
        <v>59</v>
      </c>
      <c r="M3" s="4">
        <v>33</v>
      </c>
      <c r="N3" s="27">
        <v>0.1</v>
      </c>
      <c r="O3" s="4">
        <v>14</v>
      </c>
      <c r="P3" s="4">
        <v>41</v>
      </c>
      <c r="Q3" s="4"/>
      <c r="R3" s="4"/>
      <c r="S3" s="4"/>
      <c r="T3" s="4"/>
      <c r="U3" s="4"/>
      <c r="V3" s="4"/>
    </row>
    <row r="4" spans="1:22" ht="18.75" x14ac:dyDescent="0.3">
      <c r="A4" s="4">
        <v>2</v>
      </c>
      <c r="B4" s="9" t="s">
        <v>3</v>
      </c>
      <c r="C4" s="9">
        <v>74</v>
      </c>
      <c r="D4" s="10" t="s">
        <v>16</v>
      </c>
      <c r="E4" s="20" t="s">
        <v>25</v>
      </c>
      <c r="F4" s="21"/>
      <c r="G4" s="11">
        <v>2</v>
      </c>
      <c r="H4">
        <v>20</v>
      </c>
      <c r="I4" s="9">
        <v>74</v>
      </c>
      <c r="J4" t="s">
        <v>44</v>
      </c>
      <c r="K4">
        <v>6</v>
      </c>
      <c r="L4" s="4" t="s">
        <v>60</v>
      </c>
      <c r="M4" s="4">
        <v>46</v>
      </c>
      <c r="N4" s="27">
        <v>0.12</v>
      </c>
      <c r="O4" s="4">
        <v>20</v>
      </c>
      <c r="P4" s="4">
        <v>36</v>
      </c>
      <c r="Q4" s="4"/>
      <c r="R4" s="4"/>
      <c r="S4" s="4"/>
      <c r="T4" s="4"/>
      <c r="U4" s="4"/>
      <c r="V4" s="4"/>
    </row>
    <row r="5" spans="1:22" ht="18.75" x14ac:dyDescent="0.3">
      <c r="A5" s="4">
        <v>3</v>
      </c>
      <c r="B5" s="9" t="s">
        <v>3</v>
      </c>
      <c r="C5" s="9">
        <v>54</v>
      </c>
      <c r="D5" s="10" t="s">
        <v>17</v>
      </c>
      <c r="E5" s="20" t="s">
        <v>26</v>
      </c>
      <c r="F5" s="21"/>
      <c r="G5" s="11">
        <v>2</v>
      </c>
      <c r="H5">
        <v>20</v>
      </c>
      <c r="I5" s="9">
        <v>54</v>
      </c>
      <c r="J5" t="s">
        <v>45</v>
      </c>
      <c r="K5">
        <v>6</v>
      </c>
      <c r="L5" s="4" t="s">
        <v>61</v>
      </c>
      <c r="M5" s="4">
        <v>59</v>
      </c>
      <c r="N5" s="27">
        <v>0.12</v>
      </c>
      <c r="O5" s="4">
        <v>26</v>
      </c>
      <c r="P5" s="4">
        <v>30</v>
      </c>
      <c r="Q5" s="4"/>
      <c r="R5" s="4"/>
      <c r="S5" s="4"/>
      <c r="T5" s="4"/>
      <c r="U5" s="4"/>
      <c r="V5" s="4"/>
    </row>
    <row r="6" spans="1:22" ht="18.75" x14ac:dyDescent="0.3">
      <c r="A6" s="4">
        <v>4</v>
      </c>
      <c r="B6" s="9" t="s">
        <v>3</v>
      </c>
      <c r="C6" s="9">
        <v>34</v>
      </c>
      <c r="D6" s="10" t="s">
        <v>6</v>
      </c>
      <c r="E6" s="22" t="s">
        <v>32</v>
      </c>
      <c r="F6" s="23" t="s">
        <v>33</v>
      </c>
      <c r="G6" s="11">
        <v>2</v>
      </c>
      <c r="H6">
        <v>20</v>
      </c>
      <c r="I6" s="9">
        <v>34</v>
      </c>
      <c r="J6" t="s">
        <v>46</v>
      </c>
      <c r="K6">
        <v>5</v>
      </c>
      <c r="L6" s="4" t="s">
        <v>62</v>
      </c>
      <c r="M6" s="4">
        <v>72</v>
      </c>
      <c r="N6" s="27">
        <v>0.1</v>
      </c>
      <c r="O6" s="4">
        <v>31</v>
      </c>
      <c r="P6" s="4">
        <v>24</v>
      </c>
      <c r="Q6" s="4"/>
      <c r="R6" s="4"/>
      <c r="S6" s="4"/>
      <c r="T6" s="4"/>
      <c r="U6" s="4"/>
      <c r="V6" s="4"/>
    </row>
    <row r="7" spans="1:22" ht="18.75" x14ac:dyDescent="0.3">
      <c r="A7" s="4">
        <v>5</v>
      </c>
      <c r="B7" s="9" t="s">
        <v>3</v>
      </c>
      <c r="C7" s="9">
        <v>14</v>
      </c>
      <c r="D7" s="10" t="s">
        <v>18</v>
      </c>
      <c r="E7" s="13">
        <v>2.1</v>
      </c>
      <c r="F7" s="12" t="s">
        <v>8</v>
      </c>
      <c r="G7" s="11">
        <v>8</v>
      </c>
      <c r="H7">
        <v>22</v>
      </c>
      <c r="I7" s="9">
        <v>14</v>
      </c>
      <c r="J7" t="s">
        <v>47</v>
      </c>
      <c r="K7">
        <v>9</v>
      </c>
      <c r="L7" s="4" t="s">
        <v>63</v>
      </c>
      <c r="M7" s="4">
        <v>85</v>
      </c>
      <c r="N7" s="27">
        <v>0.18</v>
      </c>
      <c r="O7" s="4">
        <v>40</v>
      </c>
      <c r="P7" s="4">
        <v>19</v>
      </c>
      <c r="Q7" s="4"/>
      <c r="R7" s="4"/>
      <c r="S7" s="4"/>
      <c r="T7" s="4"/>
      <c r="U7" s="4"/>
      <c r="V7" s="4"/>
    </row>
    <row r="8" spans="1:22" ht="18.75" x14ac:dyDescent="0.3">
      <c r="A8" s="4">
        <v>6</v>
      </c>
      <c r="B8" s="2" t="s">
        <v>1</v>
      </c>
      <c r="C8" s="2">
        <v>60</v>
      </c>
      <c r="D8" s="1"/>
      <c r="E8" s="13">
        <v>2.2000000000000002</v>
      </c>
      <c r="F8" s="12" t="s">
        <v>9</v>
      </c>
      <c r="G8" s="11">
        <v>70</v>
      </c>
      <c r="H8">
        <v>22</v>
      </c>
      <c r="I8" s="2">
        <v>60</v>
      </c>
      <c r="J8" t="s">
        <v>48</v>
      </c>
      <c r="K8">
        <v>10</v>
      </c>
      <c r="L8" s="4" t="s">
        <v>64</v>
      </c>
      <c r="M8" s="4">
        <v>98</v>
      </c>
      <c r="N8" s="27">
        <v>0.2</v>
      </c>
      <c r="O8" s="4">
        <v>50</v>
      </c>
      <c r="P8" s="4">
        <v>10</v>
      </c>
      <c r="Q8" s="4"/>
      <c r="R8" s="4"/>
      <c r="S8" s="4"/>
      <c r="T8" s="4"/>
      <c r="U8" s="4"/>
      <c r="V8" s="4"/>
    </row>
    <row r="9" spans="1:22" ht="18.75" x14ac:dyDescent="0.3">
      <c r="A9" s="4">
        <v>7</v>
      </c>
      <c r="B9" s="2" t="s">
        <v>1</v>
      </c>
      <c r="C9" s="2">
        <v>44</v>
      </c>
      <c r="D9" s="1"/>
      <c r="E9" s="13">
        <v>2.2999999999999998</v>
      </c>
      <c r="F9" s="12" t="s">
        <v>10</v>
      </c>
      <c r="G9" s="11">
        <v>5</v>
      </c>
      <c r="H9">
        <v>22</v>
      </c>
      <c r="I9" s="2">
        <v>44</v>
      </c>
      <c r="J9" t="s">
        <v>40</v>
      </c>
      <c r="K9">
        <v>50</v>
      </c>
      <c r="L9" s="4"/>
      <c r="M9" s="4"/>
      <c r="N9" s="27">
        <v>1</v>
      </c>
      <c r="O9" s="4"/>
      <c r="P9" s="4"/>
      <c r="Q9" s="4"/>
      <c r="R9" s="4"/>
      <c r="S9" s="4"/>
      <c r="T9" s="4"/>
      <c r="U9" s="4"/>
      <c r="V9" s="4"/>
    </row>
    <row r="10" spans="1:22" ht="18.75" x14ac:dyDescent="0.3">
      <c r="A10" s="4">
        <v>8</v>
      </c>
      <c r="B10" s="2" t="s">
        <v>1</v>
      </c>
      <c r="C10" s="2">
        <v>22</v>
      </c>
      <c r="D10" s="1"/>
      <c r="E10" s="13">
        <v>2.4</v>
      </c>
      <c r="F10" s="12" t="s">
        <v>15</v>
      </c>
      <c r="G10" s="11">
        <v>10</v>
      </c>
      <c r="H10">
        <v>22</v>
      </c>
      <c r="I10" s="2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8.75" x14ac:dyDescent="0.3">
      <c r="A11" s="4">
        <v>9</v>
      </c>
      <c r="B11" s="2" t="s">
        <v>1</v>
      </c>
      <c r="C11" s="2">
        <v>100</v>
      </c>
      <c r="D11" s="1"/>
      <c r="E11" s="13">
        <v>2.5</v>
      </c>
      <c r="F11" s="12" t="s">
        <v>11</v>
      </c>
      <c r="G11" s="11">
        <v>10</v>
      </c>
      <c r="H11">
        <v>22</v>
      </c>
      <c r="I11" s="2">
        <v>100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8.75" x14ac:dyDescent="0.3">
      <c r="A12" s="4">
        <v>10</v>
      </c>
      <c r="B12" s="2" t="s">
        <v>1</v>
      </c>
      <c r="C12" s="2">
        <v>88</v>
      </c>
      <c r="D12" s="1"/>
      <c r="E12" s="13">
        <v>2.6</v>
      </c>
      <c r="F12" s="12" t="s">
        <v>19</v>
      </c>
      <c r="G12" s="11"/>
      <c r="H12">
        <v>28</v>
      </c>
      <c r="I12" s="2">
        <v>88</v>
      </c>
      <c r="K12">
        <v>2.6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8.75" x14ac:dyDescent="0.3">
      <c r="A13" s="4">
        <v>11</v>
      </c>
      <c r="B13" s="2" t="s">
        <v>1</v>
      </c>
      <c r="C13" s="2">
        <v>22</v>
      </c>
      <c r="D13" s="1"/>
      <c r="E13" s="14" t="s">
        <v>27</v>
      </c>
      <c r="F13" s="12" t="s">
        <v>12</v>
      </c>
      <c r="G13" s="11">
        <v>5</v>
      </c>
      <c r="H13">
        <v>32</v>
      </c>
      <c r="I13" s="2">
        <v>22</v>
      </c>
      <c r="K13" t="s">
        <v>67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.75" x14ac:dyDescent="0.3">
      <c r="A14" s="4">
        <v>12</v>
      </c>
      <c r="B14" s="2" t="s">
        <v>3</v>
      </c>
      <c r="C14" s="2">
        <v>20</v>
      </c>
      <c r="D14" s="1"/>
      <c r="E14" s="14" t="s">
        <v>28</v>
      </c>
      <c r="F14" s="12" t="s">
        <v>13</v>
      </c>
      <c r="G14" s="11">
        <v>5</v>
      </c>
      <c r="H14">
        <v>34</v>
      </c>
      <c r="I14" s="2">
        <v>20</v>
      </c>
      <c r="K14" t="s">
        <v>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8.75" x14ac:dyDescent="0.3">
      <c r="A15" s="4">
        <v>13</v>
      </c>
      <c r="B15" s="2" t="s">
        <v>1</v>
      </c>
      <c r="C15" s="2">
        <v>32</v>
      </c>
      <c r="D15" s="1"/>
      <c r="E15" s="14" t="s">
        <v>29</v>
      </c>
      <c r="F15" s="12" t="s">
        <v>14</v>
      </c>
      <c r="G15" s="11">
        <v>5</v>
      </c>
      <c r="H15">
        <v>38</v>
      </c>
      <c r="I15" s="2">
        <v>32</v>
      </c>
      <c r="K15" t="s">
        <v>65</v>
      </c>
      <c r="L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8.75" x14ac:dyDescent="0.3">
      <c r="A16" s="4">
        <v>14</v>
      </c>
      <c r="B16" s="2" t="s">
        <v>3</v>
      </c>
      <c r="C16" s="2">
        <v>38</v>
      </c>
      <c r="D16" s="1"/>
      <c r="E16" s="14" t="s">
        <v>30</v>
      </c>
      <c r="F16" s="12" t="s">
        <v>5</v>
      </c>
      <c r="G16" s="11">
        <v>5</v>
      </c>
      <c r="H16">
        <v>38</v>
      </c>
      <c r="I16" s="2">
        <v>38</v>
      </c>
      <c r="J16" s="5"/>
      <c r="K16" s="5" t="s">
        <v>68</v>
      </c>
      <c r="L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8.75" x14ac:dyDescent="0.3">
      <c r="A17" s="4">
        <v>15</v>
      </c>
      <c r="B17" s="2" t="s">
        <v>1</v>
      </c>
      <c r="C17" s="2">
        <v>20</v>
      </c>
      <c r="D17" s="1"/>
      <c r="E17" s="14" t="s">
        <v>31</v>
      </c>
      <c r="F17" s="12" t="s">
        <v>4</v>
      </c>
      <c r="G17" s="11">
        <v>5</v>
      </c>
      <c r="H17">
        <v>44</v>
      </c>
      <c r="I17" s="2">
        <v>20</v>
      </c>
      <c r="J17" s="5"/>
      <c r="K17" s="5" t="s">
        <v>69</v>
      </c>
      <c r="L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8.75" x14ac:dyDescent="0.3">
      <c r="A18" s="4">
        <v>16</v>
      </c>
      <c r="B18" s="2" t="s">
        <v>1</v>
      </c>
      <c r="C18" s="2">
        <v>44</v>
      </c>
      <c r="D18" s="1"/>
      <c r="E18" s="13">
        <v>2.7</v>
      </c>
      <c r="F18" s="12" t="s">
        <v>20</v>
      </c>
      <c r="G18" s="11"/>
      <c r="H18">
        <v>44</v>
      </c>
      <c r="I18" s="2">
        <v>44</v>
      </c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8.75" x14ac:dyDescent="0.3">
      <c r="A19" s="4">
        <v>17</v>
      </c>
      <c r="B19" s="2" t="s">
        <v>1</v>
      </c>
      <c r="C19" s="2">
        <v>44</v>
      </c>
      <c r="D19" s="1"/>
      <c r="E19" s="14" t="s">
        <v>27</v>
      </c>
      <c r="F19" s="12" t="s">
        <v>12</v>
      </c>
      <c r="G19" s="11">
        <v>5</v>
      </c>
      <c r="H19" s="8">
        <v>44</v>
      </c>
      <c r="I19" s="2">
        <v>44</v>
      </c>
      <c r="K19" s="5" t="s">
        <v>70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8.75" x14ac:dyDescent="0.3">
      <c r="A20" s="4">
        <v>18</v>
      </c>
      <c r="B20" s="2" t="s">
        <v>3</v>
      </c>
      <c r="C20" s="2">
        <v>46</v>
      </c>
      <c r="D20" s="1"/>
      <c r="E20" s="14" t="s">
        <v>28</v>
      </c>
      <c r="F20" s="12" t="s">
        <v>13</v>
      </c>
      <c r="G20" s="11">
        <v>5</v>
      </c>
      <c r="H20">
        <v>44</v>
      </c>
      <c r="I20" s="2">
        <v>46</v>
      </c>
      <c r="K20" s="5" t="s">
        <v>71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8.75" x14ac:dyDescent="0.3">
      <c r="A21" s="4">
        <v>19</v>
      </c>
      <c r="B21" s="2" t="s">
        <v>1</v>
      </c>
      <c r="C21" s="2">
        <v>50</v>
      </c>
      <c r="D21" s="1"/>
      <c r="E21" s="14" t="s">
        <v>29</v>
      </c>
      <c r="F21" s="12" t="s">
        <v>14</v>
      </c>
      <c r="G21" s="11">
        <v>5</v>
      </c>
      <c r="H21">
        <v>46</v>
      </c>
      <c r="I21" s="2">
        <v>50</v>
      </c>
      <c r="K21" s="5" t="s">
        <v>72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8.75" x14ac:dyDescent="0.3">
      <c r="A22" s="4">
        <v>20</v>
      </c>
      <c r="B22" s="2" t="s">
        <v>1</v>
      </c>
      <c r="C22" s="2">
        <v>58</v>
      </c>
      <c r="D22" s="1"/>
      <c r="E22" s="14" t="s">
        <v>30</v>
      </c>
      <c r="F22" s="12" t="s">
        <v>5</v>
      </c>
      <c r="G22" s="11">
        <v>5</v>
      </c>
      <c r="H22">
        <v>50</v>
      </c>
      <c r="I22" s="2">
        <v>58</v>
      </c>
      <c r="K22" s="5" t="s">
        <v>73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8.75" x14ac:dyDescent="0.3">
      <c r="A23" s="4">
        <v>21</v>
      </c>
      <c r="B23" s="2" t="s">
        <v>1</v>
      </c>
      <c r="C23" s="2">
        <v>58</v>
      </c>
      <c r="D23" s="1"/>
      <c r="E23" s="14" t="s">
        <v>31</v>
      </c>
      <c r="F23" s="12" t="s">
        <v>4</v>
      </c>
      <c r="G23" s="11">
        <v>5</v>
      </c>
      <c r="H23">
        <v>54</v>
      </c>
      <c r="I23" s="2">
        <v>58</v>
      </c>
      <c r="K23" s="5" t="s">
        <v>74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21" x14ac:dyDescent="0.35">
      <c r="A24" s="4">
        <v>22</v>
      </c>
      <c r="B24" s="2" t="s">
        <v>1</v>
      </c>
      <c r="C24" s="2">
        <v>60</v>
      </c>
      <c r="D24" s="1"/>
      <c r="E24" s="15" t="s">
        <v>34</v>
      </c>
      <c r="F24" s="12" t="s">
        <v>35</v>
      </c>
      <c r="G24" s="11">
        <v>5</v>
      </c>
      <c r="H24">
        <v>58</v>
      </c>
      <c r="I24" s="2">
        <v>60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1" x14ac:dyDescent="0.35">
      <c r="A25" s="4">
        <v>23</v>
      </c>
      <c r="B25" s="2" t="s">
        <v>3</v>
      </c>
      <c r="C25" s="2">
        <v>22</v>
      </c>
      <c r="D25" s="1"/>
      <c r="E25" s="15" t="s">
        <v>34</v>
      </c>
      <c r="F25" s="12" t="s">
        <v>36</v>
      </c>
      <c r="G25" s="11">
        <v>10</v>
      </c>
      <c r="H25">
        <v>58</v>
      </c>
      <c r="I25" s="2">
        <v>22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8.75" x14ac:dyDescent="0.3">
      <c r="A26" s="4">
        <v>24</v>
      </c>
      <c r="B26" s="2" t="s">
        <v>3</v>
      </c>
      <c r="C26" s="2">
        <v>66</v>
      </c>
      <c r="D26" s="1"/>
      <c r="E26" s="1"/>
      <c r="G26" s="8">
        <f>SUM(G2:G25)</f>
        <v>180</v>
      </c>
      <c r="H26">
        <v>60</v>
      </c>
      <c r="I26" s="2">
        <v>66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8" x14ac:dyDescent="0.25">
      <c r="A27" s="4">
        <v>25</v>
      </c>
      <c r="B27" s="2" t="s">
        <v>3</v>
      </c>
      <c r="C27" s="2">
        <v>70</v>
      </c>
      <c r="D27" s="1">
        <v>2.6</v>
      </c>
      <c r="E27" s="1"/>
      <c r="H27">
        <v>60</v>
      </c>
      <c r="I27" s="2">
        <v>70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8" x14ac:dyDescent="0.25">
      <c r="A28" s="4">
        <v>26</v>
      </c>
      <c r="B28" s="2" t="s">
        <v>3</v>
      </c>
      <c r="C28" s="2">
        <v>72</v>
      </c>
      <c r="D28" s="1" t="s">
        <v>57</v>
      </c>
      <c r="E28" s="1"/>
      <c r="H28">
        <v>60</v>
      </c>
      <c r="I28" s="2">
        <v>72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8" x14ac:dyDescent="0.25">
      <c r="A29" s="4">
        <v>27</v>
      </c>
      <c r="B29" s="2" t="s">
        <v>3</v>
      </c>
      <c r="C29" s="2">
        <v>76</v>
      </c>
      <c r="D29" s="1"/>
      <c r="E29" s="1"/>
      <c r="H29">
        <v>66</v>
      </c>
      <c r="I29" s="2">
        <v>76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8" x14ac:dyDescent="0.25">
      <c r="A30" s="4">
        <v>28</v>
      </c>
      <c r="B30" s="2" t="s">
        <v>3</v>
      </c>
      <c r="C30" s="2">
        <v>84</v>
      </c>
      <c r="D30" s="1"/>
      <c r="E30" s="1"/>
      <c r="H30">
        <v>70</v>
      </c>
      <c r="I30" s="2">
        <v>84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8" x14ac:dyDescent="0.25">
      <c r="A31" s="4">
        <v>29</v>
      </c>
      <c r="B31" s="2" t="s">
        <v>1</v>
      </c>
      <c r="C31" s="2">
        <v>86</v>
      </c>
      <c r="D31" s="1"/>
      <c r="E31" s="1"/>
      <c r="H31">
        <v>72</v>
      </c>
      <c r="I31" s="2">
        <v>86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8" x14ac:dyDescent="0.25">
      <c r="A32" s="4">
        <v>30</v>
      </c>
      <c r="B32" s="2" t="s">
        <v>3</v>
      </c>
      <c r="C32" s="2">
        <v>86</v>
      </c>
      <c r="D32" s="1"/>
      <c r="E32" s="1"/>
      <c r="H32">
        <v>74</v>
      </c>
      <c r="I32" s="2">
        <v>86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8" x14ac:dyDescent="0.25">
      <c r="A33" s="4">
        <v>31</v>
      </c>
      <c r="B33" s="6" t="s">
        <v>3</v>
      </c>
      <c r="C33" s="2">
        <v>88</v>
      </c>
      <c r="D33" s="1"/>
      <c r="E33" s="1"/>
      <c r="H33">
        <v>76</v>
      </c>
      <c r="I33" s="2">
        <v>88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8" x14ac:dyDescent="0.25">
      <c r="A34" s="4">
        <v>32</v>
      </c>
      <c r="B34" s="2" t="s">
        <v>3</v>
      </c>
      <c r="C34" s="2">
        <v>22</v>
      </c>
      <c r="D34" s="1"/>
      <c r="E34" s="1"/>
      <c r="H34">
        <v>84</v>
      </c>
      <c r="I34" s="2">
        <v>22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8" x14ac:dyDescent="0.25">
      <c r="A35" s="4">
        <v>33</v>
      </c>
      <c r="B35" s="2" t="s">
        <v>3</v>
      </c>
      <c r="C35" s="2">
        <v>88</v>
      </c>
      <c r="D35" s="1"/>
      <c r="E35" s="1"/>
      <c r="H35">
        <v>84</v>
      </c>
      <c r="I35" s="2">
        <v>88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8" x14ac:dyDescent="0.25">
      <c r="A36" s="4">
        <v>34</v>
      </c>
      <c r="B36" s="2" t="s">
        <v>3</v>
      </c>
      <c r="C36" s="2">
        <v>90</v>
      </c>
      <c r="D36" s="1"/>
      <c r="E36" s="1"/>
      <c r="H36">
        <v>86</v>
      </c>
      <c r="I36" s="2">
        <v>90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8" x14ac:dyDescent="0.25">
      <c r="A37" s="4">
        <v>35</v>
      </c>
      <c r="B37" s="2" t="s">
        <v>3</v>
      </c>
      <c r="C37" s="2">
        <v>90</v>
      </c>
      <c r="D37" s="1"/>
      <c r="E37" s="1"/>
      <c r="H37">
        <v>86</v>
      </c>
      <c r="I37" s="2">
        <v>90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8" x14ac:dyDescent="0.25">
      <c r="A38" s="4">
        <v>36</v>
      </c>
      <c r="B38" s="2" t="s">
        <v>3</v>
      </c>
      <c r="C38" s="2">
        <v>28</v>
      </c>
      <c r="D38" s="1"/>
      <c r="E38" s="1"/>
      <c r="H38">
        <v>88</v>
      </c>
      <c r="I38" s="2">
        <v>28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8" x14ac:dyDescent="0.25">
      <c r="A39" s="4">
        <v>37</v>
      </c>
      <c r="B39" s="2" t="s">
        <v>3</v>
      </c>
      <c r="C39" s="2">
        <v>92</v>
      </c>
      <c r="D39" s="1"/>
      <c r="E39" s="1"/>
      <c r="H39">
        <v>88</v>
      </c>
      <c r="I39" s="2">
        <v>92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8" x14ac:dyDescent="0.25">
      <c r="A40" s="4">
        <v>38</v>
      </c>
      <c r="B40" s="2" t="s">
        <v>1</v>
      </c>
      <c r="C40" s="2">
        <v>38</v>
      </c>
      <c r="D40" s="1"/>
      <c r="E40" s="1"/>
      <c r="H40">
        <v>88</v>
      </c>
      <c r="I40" s="2">
        <v>38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8" x14ac:dyDescent="0.25">
      <c r="A41" s="4">
        <v>39</v>
      </c>
      <c r="B41" s="2" t="s">
        <v>1</v>
      </c>
      <c r="C41" s="2">
        <v>94</v>
      </c>
      <c r="D41" s="1"/>
      <c r="E41" s="1"/>
      <c r="H41">
        <v>90</v>
      </c>
      <c r="I41" s="2">
        <v>94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8" x14ac:dyDescent="0.25">
      <c r="A42" s="4">
        <v>40</v>
      </c>
      <c r="B42" s="2" t="s">
        <v>3</v>
      </c>
      <c r="C42" s="2">
        <v>100</v>
      </c>
      <c r="D42" s="1"/>
      <c r="E42" s="1"/>
      <c r="H42">
        <v>90</v>
      </c>
      <c r="I42" s="2">
        <v>100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8" x14ac:dyDescent="0.25">
      <c r="A43" s="4">
        <v>41</v>
      </c>
      <c r="B43" s="2" t="s">
        <v>3</v>
      </c>
      <c r="C43" s="2">
        <v>96</v>
      </c>
      <c r="D43" s="1"/>
      <c r="E43" s="1"/>
      <c r="H43">
        <v>92</v>
      </c>
      <c r="I43" s="2">
        <v>96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8" x14ac:dyDescent="0.25">
      <c r="A44" s="4">
        <v>42</v>
      </c>
      <c r="B44" s="2" t="s">
        <v>1</v>
      </c>
      <c r="C44" s="2">
        <v>98</v>
      </c>
      <c r="D44" s="1"/>
      <c r="E44" s="1"/>
      <c r="H44">
        <v>94</v>
      </c>
      <c r="I44" s="2">
        <v>98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8" x14ac:dyDescent="0.25">
      <c r="A45" s="4">
        <v>43</v>
      </c>
      <c r="B45" s="2" t="s">
        <v>1</v>
      </c>
      <c r="C45" s="2">
        <v>20</v>
      </c>
      <c r="D45" s="1"/>
      <c r="E45" s="1"/>
      <c r="H45">
        <v>94</v>
      </c>
      <c r="I45" s="2"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8" x14ac:dyDescent="0.25">
      <c r="A46" s="4">
        <v>44</v>
      </c>
      <c r="B46" s="2" t="s">
        <v>1</v>
      </c>
      <c r="C46" s="2">
        <v>100</v>
      </c>
      <c r="D46" s="1"/>
      <c r="E46" s="1"/>
      <c r="H46">
        <v>96</v>
      </c>
      <c r="I46" s="2">
        <v>100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8" x14ac:dyDescent="0.25">
      <c r="A47" s="4">
        <v>45</v>
      </c>
      <c r="B47" s="2" t="s">
        <v>1</v>
      </c>
      <c r="C47" s="2">
        <v>100</v>
      </c>
      <c r="D47" s="1"/>
      <c r="E47" s="1"/>
      <c r="G47" s="4"/>
      <c r="H47" s="4">
        <v>98</v>
      </c>
      <c r="I47" s="2">
        <v>100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8" x14ac:dyDescent="0.25">
      <c r="A48" s="4">
        <v>46</v>
      </c>
      <c r="B48" s="2" t="s">
        <v>3</v>
      </c>
      <c r="C48" s="2">
        <v>100</v>
      </c>
      <c r="D48" s="1"/>
      <c r="E48" s="1"/>
      <c r="G48" s="4"/>
      <c r="H48" s="4">
        <v>100</v>
      </c>
      <c r="I48" s="2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8" x14ac:dyDescent="0.25">
      <c r="A49" s="4">
        <v>47</v>
      </c>
      <c r="B49" s="2" t="s">
        <v>1</v>
      </c>
      <c r="C49" s="2">
        <v>44</v>
      </c>
      <c r="D49" s="1"/>
      <c r="E49" s="1"/>
      <c r="G49" s="4"/>
      <c r="H49" s="4">
        <v>100</v>
      </c>
      <c r="I49" s="2">
        <v>44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8" x14ac:dyDescent="0.25">
      <c r="A50" s="4">
        <v>48</v>
      </c>
      <c r="B50" s="2" t="s">
        <v>3</v>
      </c>
      <c r="C50" s="2">
        <v>60</v>
      </c>
      <c r="D50" s="1"/>
      <c r="E50" s="1"/>
      <c r="G50" s="4"/>
      <c r="H50" s="4">
        <v>100</v>
      </c>
      <c r="I50" s="2">
        <v>60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8" x14ac:dyDescent="0.25">
      <c r="A51" s="4">
        <v>49</v>
      </c>
      <c r="B51" s="2" t="s">
        <v>1</v>
      </c>
      <c r="C51" s="2">
        <v>22</v>
      </c>
      <c r="D51" s="1"/>
      <c r="E51" s="1"/>
      <c r="G51" s="4"/>
      <c r="H51" s="4">
        <v>100</v>
      </c>
      <c r="I51" s="2">
        <v>22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8" x14ac:dyDescent="0.25">
      <c r="A52" s="4">
        <v>50</v>
      </c>
      <c r="B52" s="2" t="s">
        <v>1</v>
      </c>
      <c r="C52" s="2">
        <v>84</v>
      </c>
      <c r="D52" s="1"/>
      <c r="E52" s="1"/>
      <c r="G52" s="4"/>
      <c r="H52" s="4">
        <v>100</v>
      </c>
      <c r="I52" s="2">
        <v>84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8" x14ac:dyDescent="0.25"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8" x14ac:dyDescent="0.25"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8" x14ac:dyDescent="0.25">
      <c r="B55" s="26" t="s">
        <v>2</v>
      </c>
      <c r="C55" s="26" t="s">
        <v>39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8" x14ac:dyDescent="0.25">
      <c r="B56" s="26" t="s">
        <v>54</v>
      </c>
      <c r="C56" s="1">
        <f>COUNTIF(B3:B52, "M")</f>
        <v>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8" x14ac:dyDescent="0.25">
      <c r="B57" s="26" t="s">
        <v>55</v>
      </c>
      <c r="C57" s="1">
        <f>COUNTIF(B3:B52, "F")</f>
        <v>24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8" x14ac:dyDescent="0.25">
      <c r="B58" s="26" t="s">
        <v>40</v>
      </c>
      <c r="C58" s="1">
        <v>50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8" x14ac:dyDescent="0.25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8" x14ac:dyDescent="0.25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8" x14ac:dyDescent="0.25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</sheetData>
  <sortState xmlns:xlrd2="http://schemas.microsoft.com/office/spreadsheetml/2017/richdata2" ref="B3:C52">
    <sortCondition ref="C3:C52"/>
  </sortState>
  <mergeCells count="1">
    <mergeCell ref="D1:F1"/>
  </mergeCells>
  <pageMargins left="0.7" right="0.7" top="0.75" bottom="0.75" header="0.3" footer="0.3"/>
  <pageSetup paperSize="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Data, Instructions,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 Gonzales</dc:creator>
  <cp:lastModifiedBy>Whon Jick</cp:lastModifiedBy>
  <cp:lastPrinted>2025-10-25T10:22:50Z</cp:lastPrinted>
  <dcterms:created xsi:type="dcterms:W3CDTF">2025-03-02T09:30:52Z</dcterms:created>
  <dcterms:modified xsi:type="dcterms:W3CDTF">2025-10-25T15:49:13Z</dcterms:modified>
</cp:coreProperties>
</file>